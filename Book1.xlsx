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v12\OneDrive\Documents\RAJAN's fo;der\"/>
    </mc:Choice>
  </mc:AlternateContent>
  <xr:revisionPtr revIDLastSave="0" documentId="13_ncr:1_{D2D71203-7895-4374-A449-6A05FCD9157D}" xr6:coauthVersionLast="47" xr6:coauthVersionMax="47" xr10:uidLastSave="{00000000-0000-0000-0000-000000000000}"/>
  <bookViews>
    <workbookView xWindow="-120" yWindow="-120" windowWidth="20730" windowHeight="11040" xr2:uid="{9852EC06-116A-4476-B29B-23C05A4AD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1" l="1"/>
  <c r="L28" i="1"/>
  <c r="L29" i="1"/>
  <c r="L30" i="1"/>
  <c r="L26" i="1"/>
  <c r="K27" i="1"/>
  <c r="K28" i="1"/>
  <c r="K29" i="1"/>
  <c r="K30" i="1"/>
  <c r="K26" i="1"/>
  <c r="J27" i="1"/>
  <c r="J28" i="1"/>
  <c r="J29" i="1"/>
  <c r="J30" i="1"/>
  <c r="J26" i="1"/>
  <c r="J19" i="1"/>
  <c r="K19" i="1" s="1"/>
  <c r="J18" i="1"/>
  <c r="K18" i="1" s="1"/>
  <c r="J17" i="1"/>
  <c r="K17" i="1" s="1"/>
  <c r="J16" i="1"/>
  <c r="K16" i="1" s="1"/>
  <c r="J15" i="1"/>
  <c r="K9" i="1"/>
  <c r="K6" i="1"/>
  <c r="K7" i="1"/>
  <c r="K8" i="1"/>
  <c r="K5" i="1"/>
  <c r="L16" i="1" l="1"/>
  <c r="L18" i="1"/>
  <c r="L17" i="1"/>
  <c r="L19" i="1"/>
  <c r="K15" i="1"/>
  <c r="L15" i="1" s="1"/>
</calcChain>
</file>

<file path=xl/sharedStrings.xml><?xml version="1.0" encoding="utf-8"?>
<sst xmlns="http://schemas.openxmlformats.org/spreadsheetml/2006/main" count="48" uniqueCount="40">
  <si>
    <t>Sn</t>
  </si>
  <si>
    <t>Name of item</t>
  </si>
  <si>
    <t>Quantity</t>
  </si>
  <si>
    <t>Price</t>
  </si>
  <si>
    <t>Amount</t>
  </si>
  <si>
    <t>Potato</t>
  </si>
  <si>
    <t>Banana</t>
  </si>
  <si>
    <t>Orange</t>
  </si>
  <si>
    <t>Mango</t>
  </si>
  <si>
    <t>Onion</t>
  </si>
  <si>
    <t>SN</t>
  </si>
  <si>
    <t xml:space="preserve">Price </t>
  </si>
  <si>
    <t>Discount</t>
  </si>
  <si>
    <t>Net Amount</t>
  </si>
  <si>
    <t>Product</t>
  </si>
  <si>
    <t>Simple Billing System
IT ZONE COMPUTER EDUCATION</t>
  </si>
  <si>
    <t>Simple Billing System
IT ZONE COMPUER EDUCATION</t>
  </si>
  <si>
    <t>SALARY SHEET</t>
  </si>
  <si>
    <t>Name</t>
  </si>
  <si>
    <t>Address</t>
  </si>
  <si>
    <t>Post</t>
  </si>
  <si>
    <t>Salary</t>
  </si>
  <si>
    <t>Bonus</t>
  </si>
  <si>
    <t>Tax</t>
  </si>
  <si>
    <t>Net Salary</t>
  </si>
  <si>
    <t>Raju</t>
  </si>
  <si>
    <t>Laxman</t>
  </si>
  <si>
    <t>Anita</t>
  </si>
  <si>
    <t>Dan</t>
  </si>
  <si>
    <t>Birendra</t>
  </si>
  <si>
    <t>Mnr</t>
  </si>
  <si>
    <t>KTM</t>
  </si>
  <si>
    <t>Dhangadi</t>
  </si>
  <si>
    <t>Pokara</t>
  </si>
  <si>
    <t>Illam</t>
  </si>
  <si>
    <t>Teacher</t>
  </si>
  <si>
    <t>Manager</t>
  </si>
  <si>
    <t>Police</t>
  </si>
  <si>
    <t>Supervisor</t>
  </si>
  <si>
    <t>Peon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</si>
</sst>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Border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Style 1" xfId="1" xr:uid="{F68E14BD-71C5-4898-9E42-AFF1F2426C66}"/>
    <cellStyle name="Style 2" xfId="2" xr:uid="{8C0151BC-85D4-4ADE-98BF-F0E45877F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F7ED-1DF1-4AA7-813B-46279DD3C059}">
  <dimension ref="E1:L30"/>
  <sheetViews>
    <sheetView tabSelected="1" topLeftCell="A16" workbookViewId="0">
      <selection activeCell="N29" sqref="N29"/>
    </sheetView>
  </sheetViews>
  <sheetFormatPr defaultRowHeight="15" x14ac:dyDescent="0.25"/>
  <cols>
    <col min="2" max="2" width="13.28515625" bestFit="1" customWidth="1"/>
    <col min="7" max="7" width="11.85546875" bestFit="1" customWidth="1"/>
    <col min="8" max="8" width="13.28515625" bestFit="1" customWidth="1"/>
    <col min="12" max="12" width="10" customWidth="1"/>
    <col min="15" max="15" width="11.85546875" bestFit="1" customWidth="1"/>
  </cols>
  <sheetData>
    <row r="1" spans="6:12" x14ac:dyDescent="0.25">
      <c r="F1" s="1"/>
    </row>
    <row r="2" spans="6:12" x14ac:dyDescent="0.25">
      <c r="F2" s="1"/>
      <c r="G2" s="4" t="s">
        <v>15</v>
      </c>
      <c r="H2" s="5"/>
      <c r="I2" s="5"/>
      <c r="J2" s="5"/>
      <c r="K2" s="5"/>
    </row>
    <row r="3" spans="6:12" x14ac:dyDescent="0.25">
      <c r="G3" s="5"/>
      <c r="H3" s="5"/>
      <c r="I3" s="5"/>
      <c r="J3" s="5"/>
      <c r="K3" s="5"/>
    </row>
    <row r="4" spans="6:12" x14ac:dyDescent="0.25">
      <c r="G4" s="3" t="s">
        <v>0</v>
      </c>
      <c r="H4" s="2" t="s">
        <v>1</v>
      </c>
      <c r="I4" s="2" t="s">
        <v>2</v>
      </c>
      <c r="J4" s="2" t="s">
        <v>3</v>
      </c>
      <c r="K4" s="2" t="s">
        <v>4</v>
      </c>
    </row>
    <row r="5" spans="6:12" x14ac:dyDescent="0.25">
      <c r="G5" s="2">
        <v>1</v>
      </c>
      <c r="H5" s="2" t="s">
        <v>5</v>
      </c>
      <c r="I5" s="2">
        <v>20</v>
      </c>
      <c r="J5" s="2">
        <v>35</v>
      </c>
      <c r="K5" s="2">
        <f>(I5*J5)</f>
        <v>700</v>
      </c>
    </row>
    <row r="6" spans="6:12" x14ac:dyDescent="0.25">
      <c r="G6" s="2">
        <v>2</v>
      </c>
      <c r="H6" s="2" t="s">
        <v>6</v>
      </c>
      <c r="I6" s="2">
        <v>15</v>
      </c>
      <c r="J6" s="2">
        <v>50</v>
      </c>
      <c r="K6" s="2">
        <f t="shared" ref="K6:K8" si="0">(I6*J6)</f>
        <v>750</v>
      </c>
    </row>
    <row r="7" spans="6:12" x14ac:dyDescent="0.25">
      <c r="G7" s="2">
        <v>3</v>
      </c>
      <c r="H7" s="2" t="s">
        <v>7</v>
      </c>
      <c r="I7" s="2">
        <v>12</v>
      </c>
      <c r="J7" s="2">
        <v>120</v>
      </c>
      <c r="K7" s="2">
        <f t="shared" si="0"/>
        <v>1440</v>
      </c>
    </row>
    <row r="8" spans="6:12" x14ac:dyDescent="0.25">
      <c r="G8" s="2">
        <v>4</v>
      </c>
      <c r="H8" s="2" t="s">
        <v>8</v>
      </c>
      <c r="I8" s="2">
        <v>5</v>
      </c>
      <c r="J8" s="2">
        <v>80</v>
      </c>
      <c r="K8" s="2">
        <f t="shared" si="0"/>
        <v>400</v>
      </c>
    </row>
    <row r="9" spans="6:12" x14ac:dyDescent="0.25">
      <c r="G9" s="2">
        <v>5</v>
      </c>
      <c r="H9" s="2" t="s">
        <v>9</v>
      </c>
      <c r="I9" s="2">
        <v>20</v>
      </c>
      <c r="J9" s="2">
        <v>40</v>
      </c>
      <c r="K9" s="2">
        <f>(I9*J9)</f>
        <v>800</v>
      </c>
    </row>
    <row r="12" spans="6:12" x14ac:dyDescent="0.25">
      <c r="F12" s="4" t="s">
        <v>16</v>
      </c>
      <c r="G12" s="5"/>
      <c r="H12" s="5"/>
      <c r="I12" s="5"/>
      <c r="J12" s="5"/>
      <c r="K12" s="5"/>
      <c r="L12" s="5"/>
    </row>
    <row r="13" spans="6:12" x14ac:dyDescent="0.25">
      <c r="F13" s="5"/>
      <c r="G13" s="5"/>
      <c r="H13" s="5"/>
      <c r="I13" s="5"/>
      <c r="J13" s="5"/>
      <c r="K13" s="5"/>
      <c r="L13" s="5"/>
    </row>
    <row r="14" spans="6:12" x14ac:dyDescent="0.25">
      <c r="F14" s="2" t="s">
        <v>10</v>
      </c>
      <c r="G14" s="2" t="s">
        <v>14</v>
      </c>
      <c r="H14" s="2" t="s">
        <v>2</v>
      </c>
      <c r="I14" s="2" t="s">
        <v>11</v>
      </c>
      <c r="J14" s="2" t="s">
        <v>4</v>
      </c>
      <c r="K14" s="2" t="s">
        <v>12</v>
      </c>
      <c r="L14" s="2" t="s">
        <v>13</v>
      </c>
    </row>
    <row r="15" spans="6:12" x14ac:dyDescent="0.25">
      <c r="F15" s="2">
        <v>1</v>
      </c>
      <c r="G15" s="2" t="s">
        <v>5</v>
      </c>
      <c r="H15" s="2">
        <v>20</v>
      </c>
      <c r="I15" s="2">
        <v>35</v>
      </c>
      <c r="J15" s="2">
        <f>(H15*I15)</f>
        <v>700</v>
      </c>
      <c r="K15" s="2">
        <f>(0.1*J15)</f>
        <v>70</v>
      </c>
      <c r="L15" s="2">
        <f>(J15-K15)</f>
        <v>630</v>
      </c>
    </row>
    <row r="16" spans="6:12" x14ac:dyDescent="0.25">
      <c r="F16" s="2">
        <v>2</v>
      </c>
      <c r="G16" s="2" t="s">
        <v>6</v>
      </c>
      <c r="H16" s="2">
        <v>15</v>
      </c>
      <c r="I16" s="2">
        <v>50</v>
      </c>
      <c r="J16" s="2">
        <f t="shared" ref="J16:J18" si="1">(H16*I16)</f>
        <v>750</v>
      </c>
      <c r="K16" s="2">
        <f t="shared" ref="K16:K19" si="2">(0.1*J16)</f>
        <v>75</v>
      </c>
      <c r="L16" s="2">
        <f t="shared" ref="L16:L19" si="3">(J16-K16)</f>
        <v>675</v>
      </c>
    </row>
    <row r="17" spans="5:12" x14ac:dyDescent="0.25">
      <c r="F17" s="2">
        <v>3</v>
      </c>
      <c r="G17" s="2" t="s">
        <v>7</v>
      </c>
      <c r="H17" s="2">
        <v>12</v>
      </c>
      <c r="I17" s="2">
        <v>120</v>
      </c>
      <c r="J17" s="2">
        <f t="shared" si="1"/>
        <v>1440</v>
      </c>
      <c r="K17" s="2">
        <f t="shared" si="2"/>
        <v>144</v>
      </c>
      <c r="L17" s="2">
        <f t="shared" si="3"/>
        <v>1296</v>
      </c>
    </row>
    <row r="18" spans="5:12" x14ac:dyDescent="0.25">
      <c r="F18" s="2">
        <v>4</v>
      </c>
      <c r="G18" s="2" t="s">
        <v>8</v>
      </c>
      <c r="H18" s="2">
        <v>5</v>
      </c>
      <c r="I18" s="2">
        <v>80</v>
      </c>
      <c r="J18" s="2">
        <f t="shared" si="1"/>
        <v>400</v>
      </c>
      <c r="K18" s="2">
        <f t="shared" si="2"/>
        <v>40</v>
      </c>
      <c r="L18" s="2">
        <f t="shared" si="3"/>
        <v>360</v>
      </c>
    </row>
    <row r="19" spans="5:12" x14ac:dyDescent="0.25">
      <c r="F19" s="2">
        <v>5</v>
      </c>
      <c r="G19" s="2" t="s">
        <v>9</v>
      </c>
      <c r="H19" s="2">
        <v>20</v>
      </c>
      <c r="I19" s="2">
        <v>40</v>
      </c>
      <c r="J19" s="2">
        <f>(H19*I19)</f>
        <v>800</v>
      </c>
      <c r="K19" s="2">
        <f t="shared" si="2"/>
        <v>80</v>
      </c>
      <c r="L19" s="2">
        <f t="shared" si="3"/>
        <v>720</v>
      </c>
    </row>
    <row r="23" spans="5:12" x14ac:dyDescent="0.25">
      <c r="E23" s="5" t="s">
        <v>17</v>
      </c>
      <c r="F23" s="5"/>
      <c r="G23" s="5"/>
      <c r="H23" s="5"/>
      <c r="I23" s="5"/>
      <c r="J23" s="5"/>
      <c r="K23" s="5"/>
      <c r="L23" s="5"/>
    </row>
    <row r="24" spans="5:12" x14ac:dyDescent="0.25">
      <c r="E24" s="6" t="s">
        <v>10</v>
      </c>
      <c r="F24" s="6" t="s">
        <v>18</v>
      </c>
      <c r="G24" s="6" t="s">
        <v>19</v>
      </c>
      <c r="H24" s="6" t="s">
        <v>20</v>
      </c>
      <c r="I24" s="6" t="s">
        <v>21</v>
      </c>
      <c r="J24" s="6" t="s">
        <v>22</v>
      </c>
      <c r="K24" s="6" t="s">
        <v>23</v>
      </c>
      <c r="L24" s="6" t="s">
        <v>24</v>
      </c>
    </row>
    <row r="25" spans="5:12" x14ac:dyDescent="0.25">
      <c r="E25" s="6"/>
      <c r="F25" s="6"/>
      <c r="G25" s="6"/>
      <c r="H25" s="6"/>
      <c r="I25" s="6"/>
      <c r="J25" s="6"/>
      <c r="K25" s="6"/>
      <c r="L25" s="6"/>
    </row>
    <row r="26" spans="5:12" x14ac:dyDescent="0.25">
      <c r="E26" s="2">
        <v>1</v>
      </c>
      <c r="F26" s="2" t="s">
        <v>28</v>
      </c>
      <c r="G26" s="2" t="s">
        <v>30</v>
      </c>
      <c r="H26" s="2" t="s">
        <v>35</v>
      </c>
      <c r="I26" s="2">
        <v>30000</v>
      </c>
      <c r="J26" s="2">
        <f>(0.15*I26)</f>
        <v>4500</v>
      </c>
      <c r="K26" s="2">
        <f>(0.08*I26)</f>
        <v>2400</v>
      </c>
      <c r="L26" s="2">
        <f>(I26+J26-K26)</f>
        <v>32100</v>
      </c>
    </row>
    <row r="27" spans="5:12" x14ac:dyDescent="0.25">
      <c r="E27" s="2">
        <v>2</v>
      </c>
      <c r="F27" s="2" t="s">
        <v>25</v>
      </c>
      <c r="G27" s="2" t="s">
        <v>31</v>
      </c>
      <c r="H27" s="2" t="s">
        <v>36</v>
      </c>
      <c r="I27" s="2">
        <v>40000</v>
      </c>
      <c r="J27" s="2">
        <f t="shared" ref="J27:J30" si="4">(0.15*I27)</f>
        <v>6000</v>
      </c>
      <c r="K27" s="2">
        <f t="shared" ref="K27:K30" si="5">(0.08*I27)</f>
        <v>3200</v>
      </c>
      <c r="L27" s="2">
        <f t="shared" ref="L27:L30" si="6">(I27+J27-K27)</f>
        <v>42800</v>
      </c>
    </row>
    <row r="28" spans="5:12" x14ac:dyDescent="0.25">
      <c r="E28" s="2">
        <v>3</v>
      </c>
      <c r="F28" s="2" t="s">
        <v>26</v>
      </c>
      <c r="G28" s="2" t="s">
        <v>32</v>
      </c>
      <c r="H28" s="2" t="s">
        <v>37</v>
      </c>
      <c r="I28" s="2">
        <v>20000</v>
      </c>
      <c r="J28" s="2">
        <f t="shared" si="4"/>
        <v>3000</v>
      </c>
      <c r="K28" s="2">
        <f t="shared" si="5"/>
        <v>1600</v>
      </c>
      <c r="L28" s="2">
        <f t="shared" si="6"/>
        <v>21400</v>
      </c>
    </row>
    <row r="29" spans="5:12" x14ac:dyDescent="0.25">
      <c r="E29" s="2">
        <v>4</v>
      </c>
      <c r="F29" s="2" t="s">
        <v>29</v>
      </c>
      <c r="G29" s="2" t="s">
        <v>33</v>
      </c>
      <c r="H29" s="2" t="s">
        <v>38</v>
      </c>
      <c r="I29" s="2">
        <v>45000</v>
      </c>
      <c r="J29" s="2">
        <f t="shared" si="4"/>
        <v>6750</v>
      </c>
      <c r="K29" s="2">
        <f t="shared" si="5"/>
        <v>3600</v>
      </c>
      <c r="L29" s="2">
        <f t="shared" si="6"/>
        <v>48150</v>
      </c>
    </row>
    <row r="30" spans="5:12" x14ac:dyDescent="0.25">
      <c r="E30" s="2">
        <v>5</v>
      </c>
      <c r="F30" s="2" t="s">
        <v>27</v>
      </c>
      <c r="G30" s="2" t="s">
        <v>34</v>
      </c>
      <c r="H30" s="2" t="s">
        <v>39</v>
      </c>
      <c r="I30" s="2">
        <v>12000</v>
      </c>
      <c r="J30" s="2">
        <f t="shared" si="4"/>
        <v>1800</v>
      </c>
      <c r="K30" s="2">
        <f t="shared" si="5"/>
        <v>960</v>
      </c>
      <c r="L30" s="2">
        <f t="shared" si="6"/>
        <v>12840</v>
      </c>
    </row>
  </sheetData>
  <mergeCells count="11">
    <mergeCell ref="F12:L13"/>
    <mergeCell ref="G2:K3"/>
    <mergeCell ref="E23:L23"/>
    <mergeCell ref="E24:E25"/>
    <mergeCell ref="F24:F25"/>
    <mergeCell ref="G24:G25"/>
    <mergeCell ref="H24:H25"/>
    <mergeCell ref="I24:I25"/>
    <mergeCell ref="J24:J25"/>
    <mergeCell ref="K24:K25"/>
    <mergeCell ref="L24:L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kalika campus</dc:creator>
  <cp:lastModifiedBy>kalika campus</cp:lastModifiedBy>
  <dcterms:created xsi:type="dcterms:W3CDTF">2025-12-29T01:17:28Z</dcterms:created>
  <dcterms:modified xsi:type="dcterms:W3CDTF">2025-12-31T01:39:04Z</dcterms:modified>
</cp:coreProperties>
</file>